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28695" windowHeight="12495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Purchase!$F$3:$F$21</definedName>
    <definedName name="_xlnm.Criteria" localSheetId="3">Stock!$K$3:$K$4</definedName>
    <definedName name="_xlnm.Extract" localSheetId="3">Stock!$E$3</definedName>
  </definedNames>
  <calcPr calcId="124519"/>
</workbook>
</file>

<file path=xl/calcChain.xml><?xml version="1.0" encoding="utf-8"?>
<calcChain xmlns="http://schemas.openxmlformats.org/spreadsheetml/2006/main">
  <c r="G4" i="4"/>
  <c r="G5"/>
  <c r="G6"/>
  <c r="G7"/>
  <c r="G8"/>
  <c r="G9"/>
  <c r="G10"/>
  <c r="G11"/>
  <c r="G12"/>
  <c r="G13"/>
  <c r="G14"/>
  <c r="G15"/>
  <c r="F4"/>
  <c r="F5"/>
  <c r="F6"/>
  <c r="F7"/>
  <c r="F8"/>
  <c r="F9"/>
  <c r="F10"/>
  <c r="F11"/>
  <c r="F12"/>
  <c r="F13"/>
  <c r="F14"/>
  <c r="F15"/>
  <c r="K4"/>
  <c r="H15" l="1"/>
  <c r="H14"/>
  <c r="H4"/>
  <c r="H5"/>
  <c r="H6"/>
  <c r="H12"/>
  <c r="H7"/>
  <c r="H8"/>
  <c r="H9"/>
  <c r="H10"/>
  <c r="H11"/>
  <c r="H13"/>
</calcChain>
</file>

<file path=xl/sharedStrings.xml><?xml version="1.0" encoding="utf-8"?>
<sst xmlns="http://schemas.openxmlformats.org/spreadsheetml/2006/main" count="50" uniqueCount="26">
  <si>
    <t>LAST BILL:</t>
  </si>
  <si>
    <t>ENTRY TYPE:</t>
  </si>
  <si>
    <t>BILL NO.</t>
  </si>
  <si>
    <t>DATE</t>
  </si>
  <si>
    <t>ITEM</t>
  </si>
  <si>
    <t>QTY</t>
  </si>
  <si>
    <t>RATE</t>
  </si>
  <si>
    <t>PURCHASE ENTRY</t>
  </si>
  <si>
    <t>SALES ENTRY</t>
  </si>
  <si>
    <t>S. QTY</t>
  </si>
  <si>
    <t>P. QTY</t>
  </si>
  <si>
    <t>STOCK</t>
  </si>
  <si>
    <t>STOCK ENTRY</t>
  </si>
  <si>
    <t>CPU</t>
  </si>
  <si>
    <t>mouse</t>
  </si>
  <si>
    <t>keyboard</t>
  </si>
  <si>
    <t>Monitor</t>
  </si>
  <si>
    <t>USB</t>
  </si>
  <si>
    <t>pendrive</t>
  </si>
  <si>
    <t>item</t>
  </si>
  <si>
    <t xml:space="preserve">Sale entry </t>
  </si>
  <si>
    <t>laptop</t>
  </si>
  <si>
    <t>Purchase</t>
  </si>
  <si>
    <t>KEYBORD</t>
  </si>
  <si>
    <t>PENDRIVE</t>
  </si>
  <si>
    <t>hub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</si>
</sst>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1" fillId="0" borderId="0" xfId="0" applyFont="1"/>
    <xf numFmtId="0" fontId="1" fillId="5" borderId="1" xfId="0" applyFont="1" applyFill="1" applyBorder="1"/>
    <xf numFmtId="0" fontId="0" fillId="3" borderId="1" xfId="0" applyFill="1" applyBorder="1"/>
    <xf numFmtId="0" fontId="0" fillId="0" borderId="0" xfId="0" applyFill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0" borderId="0" xfId="0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0" fillId="0" borderId="0" xfId="0" applyBorder="1"/>
    <xf numFmtId="14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NumberFormat="1"/>
    <xf numFmtId="14" fontId="0" fillId="0" borderId="0" xfId="0" applyNumberFormat="1"/>
    <xf numFmtId="0" fontId="4" fillId="0" borderId="0" xfId="1" applyNumberFormat="1" applyAlignment="1" applyProtection="1"/>
    <xf numFmtId="0" fontId="0" fillId="0" borderId="2" xfId="0" applyBorder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indexed="64"/>
        </left>
      </border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190499</xdr:rowOff>
    </xdr:from>
    <xdr:to>
      <xdr:col>7</xdr:col>
      <xdr:colOff>590550</xdr:colOff>
      <xdr:row>2</xdr:row>
      <xdr:rowOff>171449</xdr:rowOff>
    </xdr:to>
    <xdr:sp macro="" textlink="">
      <xdr:nvSpPr>
        <xdr:cNvPr id="2" name="Rounded Rectangle 1"/>
        <xdr:cNvSpPr/>
      </xdr:nvSpPr>
      <xdr:spPr>
        <a:xfrm>
          <a:off x="4391025" y="190499"/>
          <a:ext cx="1200150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Refresh Stock</a:t>
          </a:r>
        </a:p>
      </xdr:txBody>
    </xdr:sp>
    <xdr:clientData/>
  </xdr:twoCellAnchor>
  <xdr:twoCellAnchor>
    <xdr:from>
      <xdr:col>6</xdr:col>
      <xdr:colOff>9525</xdr:colOff>
      <xdr:row>9</xdr:row>
      <xdr:rowOff>180975</xdr:rowOff>
    </xdr:from>
    <xdr:to>
      <xdr:col>7</xdr:col>
      <xdr:colOff>581025</xdr:colOff>
      <xdr:row>11</xdr:row>
      <xdr:rowOff>180975</xdr:rowOff>
    </xdr:to>
    <xdr:sp macro="" textlink="">
      <xdr:nvSpPr>
        <xdr:cNvPr id="3" name="Rounded Rectangle 2"/>
        <xdr:cNvSpPr/>
      </xdr:nvSpPr>
      <xdr:spPr>
        <a:xfrm>
          <a:off x="4400550" y="1924050"/>
          <a:ext cx="11811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</a:p>
      </xdr:txBody>
    </xdr:sp>
    <xdr:clientData/>
  </xdr:twoCellAnchor>
  <xdr:twoCellAnchor>
    <xdr:from>
      <xdr:col>6</xdr:col>
      <xdr:colOff>9525</xdr:colOff>
      <xdr:row>4</xdr:row>
      <xdr:rowOff>28575</xdr:rowOff>
    </xdr:from>
    <xdr:to>
      <xdr:col>7</xdr:col>
      <xdr:colOff>600075</xdr:colOff>
      <xdr:row>6</xdr:row>
      <xdr:rowOff>0</xdr:rowOff>
    </xdr:to>
    <xdr:sp macro="" textlink="">
      <xdr:nvSpPr>
        <xdr:cNvPr id="4" name="Rounded Rectangle 3"/>
        <xdr:cNvSpPr/>
      </xdr:nvSpPr>
      <xdr:spPr>
        <a:xfrm>
          <a:off x="4400550" y="819150"/>
          <a:ext cx="120015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</a:p>
      </xdr:txBody>
    </xdr:sp>
    <xdr:clientData/>
  </xdr:twoCellAnchor>
  <xdr:twoCellAnchor>
    <xdr:from>
      <xdr:col>5</xdr:col>
      <xdr:colOff>600075</xdr:colOff>
      <xdr:row>7</xdr:row>
      <xdr:rowOff>19050</xdr:rowOff>
    </xdr:from>
    <xdr:to>
      <xdr:col>7</xdr:col>
      <xdr:colOff>590550</xdr:colOff>
      <xdr:row>9</xdr:row>
      <xdr:rowOff>0</xdr:rowOff>
    </xdr:to>
    <xdr:sp macro="" textlink="">
      <xdr:nvSpPr>
        <xdr:cNvPr id="5" name="Rounded Rectangle 4"/>
        <xdr:cNvSpPr/>
      </xdr:nvSpPr>
      <xdr:spPr>
        <a:xfrm>
          <a:off x="4381500" y="1381125"/>
          <a:ext cx="12096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Sale</a:t>
          </a:r>
        </a:p>
      </xdr:txBody>
    </xdr:sp>
    <xdr:clientData/>
  </xdr:twoCellAnchor>
  <xdr:twoCellAnchor>
    <xdr:from>
      <xdr:col>2</xdr:col>
      <xdr:colOff>295275</xdr:colOff>
      <xdr:row>10</xdr:row>
      <xdr:rowOff>19050</xdr:rowOff>
    </xdr:from>
    <xdr:to>
      <xdr:col>2</xdr:col>
      <xdr:colOff>1476375</xdr:colOff>
      <xdr:row>12</xdr:row>
      <xdr:rowOff>57150</xdr:rowOff>
    </xdr:to>
    <xdr:sp macro="[0]!p" textlink="">
      <xdr:nvSpPr>
        <xdr:cNvPr id="6" name="Rounded Rectangle 5"/>
        <xdr:cNvSpPr/>
      </xdr:nvSpPr>
      <xdr:spPr>
        <a:xfrm>
          <a:off x="1047750" y="1952625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r>
            <a:rPr lang="en-US" sz="1100" baseline="0"/>
            <a:t> entry</a:t>
          </a:r>
          <a:endParaRPr lang="en-US" sz="1100"/>
        </a:p>
      </xdr:txBody>
    </xdr:sp>
    <xdr:clientData/>
  </xdr:twoCellAnchor>
  <xdr:twoCellAnchor>
    <xdr:from>
      <xdr:col>3</xdr:col>
      <xdr:colOff>95250</xdr:colOff>
      <xdr:row>10</xdr:row>
      <xdr:rowOff>28575</xdr:rowOff>
    </xdr:from>
    <xdr:to>
      <xdr:col>4</xdr:col>
      <xdr:colOff>1104900</xdr:colOff>
      <xdr:row>12</xdr:row>
      <xdr:rowOff>47625</xdr:rowOff>
    </xdr:to>
    <xdr:sp macro="[0]!sal" textlink="">
      <xdr:nvSpPr>
        <xdr:cNvPr id="7" name="Rounded Rectangle 6"/>
        <xdr:cNvSpPr/>
      </xdr:nvSpPr>
      <xdr:spPr>
        <a:xfrm>
          <a:off x="2495550" y="1962150"/>
          <a:ext cx="121920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Sale</a:t>
          </a:r>
          <a:r>
            <a:rPr lang="en-US" sz="1100" baseline="0"/>
            <a:t> entry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3</xdr:row>
      <xdr:rowOff>85725</xdr:rowOff>
    </xdr:from>
    <xdr:to>
      <xdr:col>12</xdr:col>
      <xdr:colOff>19050</xdr:colOff>
      <xdr:row>5</xdr:row>
      <xdr:rowOff>171450</xdr:rowOff>
    </xdr:to>
    <xdr:sp macro="[0]!ref" textlink="">
      <xdr:nvSpPr>
        <xdr:cNvPr id="2" name="Rounded Rectangle 1"/>
        <xdr:cNvSpPr/>
      </xdr:nvSpPr>
      <xdr:spPr>
        <a:xfrm>
          <a:off x="5724525" y="657225"/>
          <a:ext cx="108585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Refresh Stock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D3:H21" totalsRowShown="0">
  <tableColumns count="5">
    <tableColumn id="1" name="BILL NO." dataDxfId="4"/>
    <tableColumn id="2" name="DATE" dataDxfId="3"/>
    <tableColumn id="3" name="ITEM"/>
    <tableColumn id="4" name="QTY"/>
    <tableColumn id="5" name="RATE"/>
  </tableColumns>
  <tableStyleInfo name="TableStyleMedium9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D3:H20" totalsRowShown="0">
  <autoFilter ref="D3:H20"/>
  <tableColumns count="5">
    <tableColumn id="1" name="BILL NO."/>
    <tableColumn id="2" name="DATE"/>
    <tableColumn id="3" name="ITEM"/>
    <tableColumn id="4" name="QTY"/>
    <tableColumn id="5" name="RATE"/>
  </tableColumns>
  <tableStyleInfo name="TableStyleMedium9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E3:H15" totalsRowShown="0">
  <tableColumns count="4">
    <tableColumn id="1" name="ITEM"/>
    <tableColumn id="2" name="P. QTY" dataDxfId="2">
      <calculatedColumnFormula>SUMIF(Table1[[#All],[ITEM]],Table3[[#This Row],[ITEM]],Table1[[#All],[QTY]])</calculatedColumnFormula>
    </tableColumn>
    <tableColumn id="3" name="S. QTY" dataDxfId="1">
      <calculatedColumnFormula>SUMIF(Table2[[#All],[ITEM]],Table3[[#This Row],[ITEM]],Table2[[#All],[QTY]])</calculatedColumnFormula>
    </tableColumn>
    <tableColumn id="4" name="STOCK" dataDxfId="0">
      <calculatedColumnFormula>[P. QTY]-[S. QTY]</calculatedColumnFormula>
    </tableColumn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hyperlink" Target="mailto:=@[P.%20QTY]-@[S.%20QTY]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C2:E9"/>
  <sheetViews>
    <sheetView tabSelected="1" workbookViewId="0">
      <selection activeCell="E2" sqref="E2"/>
    </sheetView>
  </sheetViews>
  <sheetFormatPr defaultRowHeight="15"/>
  <cols>
    <col min="2" max="2" width="2.140625" customWidth="1"/>
    <col min="3" max="3" width="24.7109375" customWidth="1"/>
    <col min="4" max="4" width="3.140625" customWidth="1"/>
    <col min="5" max="5" width="17.5703125" customWidth="1"/>
  </cols>
  <sheetData>
    <row r="2" spans="3:5" ht="17.25" customHeight="1">
      <c r="C2" s="2" t="s">
        <v>1</v>
      </c>
      <c r="E2" s="3" t="s">
        <v>22</v>
      </c>
    </row>
    <row r="3" spans="3:5">
      <c r="C3" s="2" t="s">
        <v>0</v>
      </c>
      <c r="E3" s="5"/>
    </row>
    <row r="4" spans="3:5">
      <c r="C4" s="1"/>
      <c r="E4" s="4"/>
    </row>
    <row r="5" spans="3:5">
      <c r="C5" s="2" t="s">
        <v>2</v>
      </c>
      <c r="E5" s="3"/>
    </row>
    <row r="6" spans="3:5">
      <c r="C6" s="2" t="s">
        <v>3</v>
      </c>
      <c r="E6" s="6"/>
    </row>
    <row r="7" spans="3:5">
      <c r="C7" s="2" t="s">
        <v>4</v>
      </c>
      <c r="E7" s="7"/>
    </row>
    <row r="8" spans="3:5">
      <c r="C8" s="2" t="s">
        <v>5</v>
      </c>
      <c r="E8" s="3"/>
    </row>
    <row r="9" spans="3:5">
      <c r="C9" s="2" t="s">
        <v>6</v>
      </c>
      <c r="E9" s="3"/>
    </row>
  </sheetData>
  <dataValidations count="1">
    <dataValidation type="list" allowBlank="1" showInputMessage="1" showErrorMessage="1" sqref="E2">
      <formula1>"Purchase, Sales"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D1:H21"/>
  <sheetViews>
    <sheetView workbookViewId="0">
      <selection activeCell="J8" sqref="J8"/>
    </sheetView>
  </sheetViews>
  <sheetFormatPr defaultRowHeight="15"/>
  <cols>
    <col min="3" max="3" width="8.28515625" customWidth="1"/>
    <col min="4" max="4" width="10.42578125" customWidth="1"/>
    <col min="5" max="5" width="13" customWidth="1"/>
  </cols>
  <sheetData>
    <row r="1" spans="4:8">
      <c r="D1" s="18" t="s">
        <v>7</v>
      </c>
      <c r="E1" s="19"/>
      <c r="F1" s="19"/>
      <c r="G1" s="19"/>
      <c r="H1" s="19"/>
    </row>
    <row r="2" spans="4:8">
      <c r="D2" s="19"/>
      <c r="E2" s="19"/>
      <c r="F2" s="19"/>
      <c r="G2" s="19"/>
      <c r="H2" s="19"/>
    </row>
    <row r="3" spans="4:8"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4:8">
      <c r="D4" s="4"/>
      <c r="E4" s="17"/>
    </row>
    <row r="5" spans="4:8">
      <c r="D5" s="8">
        <v>21</v>
      </c>
      <c r="E5" s="12">
        <v>44623</v>
      </c>
      <c r="F5" t="s">
        <v>25</v>
      </c>
      <c r="G5">
        <v>50</v>
      </c>
      <c r="H5">
        <v>30000</v>
      </c>
    </row>
    <row r="6" spans="4:8">
      <c r="D6" s="8">
        <v>1</v>
      </c>
      <c r="E6" s="12">
        <v>45690</v>
      </c>
      <c r="F6" t="s">
        <v>13</v>
      </c>
      <c r="G6">
        <v>50</v>
      </c>
      <c r="H6">
        <v>400</v>
      </c>
    </row>
    <row r="7" spans="4:8">
      <c r="D7" s="8"/>
      <c r="E7" s="12"/>
      <c r="F7" t="s">
        <v>21</v>
      </c>
      <c r="G7">
        <v>8</v>
      </c>
      <c r="H7">
        <v>9000</v>
      </c>
    </row>
    <row r="8" spans="4:8">
      <c r="D8" s="8">
        <v>7</v>
      </c>
      <c r="E8" s="12">
        <v>222</v>
      </c>
      <c r="F8" t="s">
        <v>21</v>
      </c>
      <c r="G8">
        <v>2</v>
      </c>
      <c r="H8">
        <v>50000</v>
      </c>
    </row>
    <row r="9" spans="4:8">
      <c r="D9" s="8">
        <v>6</v>
      </c>
      <c r="E9" s="12">
        <v>45690</v>
      </c>
      <c r="F9" t="s">
        <v>17</v>
      </c>
      <c r="G9">
        <v>50</v>
      </c>
      <c r="H9">
        <v>600</v>
      </c>
    </row>
    <row r="10" spans="4:8">
      <c r="D10" s="8">
        <v>5</v>
      </c>
      <c r="E10" s="12">
        <v>45690</v>
      </c>
      <c r="F10" t="s">
        <v>18</v>
      </c>
      <c r="G10">
        <v>300</v>
      </c>
      <c r="H10">
        <v>1200</v>
      </c>
    </row>
    <row r="11" spans="4:8">
      <c r="D11" s="8">
        <v>4</v>
      </c>
      <c r="E11" s="12">
        <v>45690</v>
      </c>
      <c r="F11" t="s">
        <v>17</v>
      </c>
      <c r="G11">
        <v>100</v>
      </c>
      <c r="H11">
        <v>250</v>
      </c>
    </row>
    <row r="12" spans="4:8">
      <c r="D12" s="8">
        <v>4</v>
      </c>
      <c r="E12" s="12">
        <v>45690</v>
      </c>
      <c r="F12" t="s">
        <v>13</v>
      </c>
      <c r="G12">
        <v>70</v>
      </c>
      <c r="H12">
        <v>6000</v>
      </c>
    </row>
    <row r="13" spans="4:8">
      <c r="D13" s="8">
        <v>3</v>
      </c>
      <c r="E13" s="12">
        <v>45749</v>
      </c>
      <c r="F13" t="s">
        <v>16</v>
      </c>
      <c r="G13">
        <v>60</v>
      </c>
      <c r="H13">
        <v>1000</v>
      </c>
    </row>
    <row r="14" spans="4:8">
      <c r="D14" s="8">
        <v>2</v>
      </c>
      <c r="E14" s="12">
        <v>45749</v>
      </c>
      <c r="F14" t="s">
        <v>14</v>
      </c>
      <c r="G14">
        <v>40</v>
      </c>
      <c r="H14">
        <v>400</v>
      </c>
    </row>
    <row r="15" spans="4:8">
      <c r="D15" s="8">
        <v>1</v>
      </c>
      <c r="E15" s="12">
        <v>45749</v>
      </c>
      <c r="F15" t="s">
        <v>15</v>
      </c>
      <c r="G15">
        <v>50</v>
      </c>
      <c r="H15">
        <v>500</v>
      </c>
    </row>
    <row r="16" spans="4:8">
      <c r="D16" s="8"/>
      <c r="E16" s="11"/>
    </row>
    <row r="17" spans="4:4">
      <c r="D17" s="8"/>
    </row>
    <row r="18" spans="4:4">
      <c r="D18" s="9"/>
    </row>
    <row r="19" spans="4:4">
      <c r="D19" s="10"/>
    </row>
    <row r="20" spans="4:4">
      <c r="D20" s="8"/>
    </row>
    <row r="21" spans="4:4">
      <c r="D21" s="8"/>
    </row>
  </sheetData>
  <mergeCells count="1">
    <mergeCell ref="D1:H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D1:H15"/>
  <sheetViews>
    <sheetView workbookViewId="0">
      <selection activeCell="I10" sqref="I10"/>
    </sheetView>
  </sheetViews>
  <sheetFormatPr defaultRowHeight="15"/>
  <cols>
    <col min="4" max="4" width="10.42578125" customWidth="1"/>
    <col min="5" max="5" width="10.42578125" bestFit="1" customWidth="1"/>
    <col min="6" max="6" width="10.7109375" customWidth="1"/>
  </cols>
  <sheetData>
    <row r="1" spans="4:8">
      <c r="D1" s="18" t="s">
        <v>8</v>
      </c>
      <c r="E1" s="20"/>
      <c r="F1" s="20"/>
      <c r="G1" s="20"/>
      <c r="H1" s="20"/>
    </row>
    <row r="2" spans="4:8">
      <c r="D2" s="20"/>
      <c r="E2" s="20"/>
      <c r="F2" s="20"/>
      <c r="G2" s="20"/>
      <c r="H2" s="20"/>
    </row>
    <row r="3" spans="4:8"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5" spans="4:8">
      <c r="D5">
        <v>6</v>
      </c>
      <c r="E5" s="15">
        <v>45751</v>
      </c>
      <c r="F5" t="s">
        <v>13</v>
      </c>
      <c r="G5">
        <v>6</v>
      </c>
      <c r="H5">
        <v>4500</v>
      </c>
    </row>
    <row r="6" spans="4:8">
      <c r="D6">
        <v>3</v>
      </c>
      <c r="E6" s="15">
        <v>45749</v>
      </c>
      <c r="F6" t="s">
        <v>24</v>
      </c>
      <c r="G6">
        <v>200</v>
      </c>
      <c r="H6">
        <v>1500</v>
      </c>
    </row>
    <row r="7" spans="4:8">
      <c r="D7">
        <v>2</v>
      </c>
      <c r="E7" s="15">
        <v>45718</v>
      </c>
      <c r="F7" t="s">
        <v>23</v>
      </c>
      <c r="G7">
        <v>9</v>
      </c>
      <c r="H7">
        <v>900</v>
      </c>
    </row>
    <row r="8" spans="4:8">
      <c r="D8">
        <v>1</v>
      </c>
      <c r="E8" s="15">
        <v>45690</v>
      </c>
      <c r="F8" t="s">
        <v>17</v>
      </c>
      <c r="G8">
        <v>10</v>
      </c>
      <c r="H8">
        <v>150</v>
      </c>
    </row>
    <row r="9" spans="4:8">
      <c r="E9" s="15"/>
    </row>
    <row r="10" spans="4:8">
      <c r="E10" s="15"/>
    </row>
    <row r="11" spans="4:8">
      <c r="D11" s="8"/>
      <c r="E11" s="15"/>
    </row>
    <row r="12" spans="4:8">
      <c r="D12" s="9"/>
    </row>
    <row r="13" spans="4:8">
      <c r="D13" s="10"/>
    </row>
    <row r="14" spans="4:8">
      <c r="D14" s="8"/>
    </row>
    <row r="15" spans="4:8">
      <c r="D15" s="8"/>
    </row>
  </sheetData>
  <mergeCells count="1">
    <mergeCell ref="D1:H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E1:K15"/>
  <sheetViews>
    <sheetView workbookViewId="0">
      <selection activeCell="K7" sqref="K7"/>
    </sheetView>
  </sheetViews>
  <sheetFormatPr defaultRowHeight="15"/>
  <cols>
    <col min="5" max="5" width="10.42578125" customWidth="1"/>
    <col min="11" max="11" width="7.85546875" hidden="1" customWidth="1"/>
  </cols>
  <sheetData>
    <row r="1" spans="5:11">
      <c r="E1" s="18" t="s">
        <v>12</v>
      </c>
      <c r="F1" s="20"/>
      <c r="G1" s="20"/>
      <c r="H1" s="20"/>
    </row>
    <row r="2" spans="5:11">
      <c r="E2" s="20"/>
      <c r="F2" s="20"/>
      <c r="G2" s="20"/>
      <c r="H2" s="20"/>
    </row>
    <row r="3" spans="5:11">
      <c r="E3" t="s">
        <v>4</v>
      </c>
      <c r="F3" t="s">
        <v>10</v>
      </c>
      <c r="G3" t="s">
        <v>9</v>
      </c>
      <c r="H3" t="s">
        <v>11</v>
      </c>
      <c r="J3" s="13" t="s">
        <v>20</v>
      </c>
      <c r="K3" t="s">
        <v>19</v>
      </c>
    </row>
    <row r="4" spans="5:11">
      <c r="E4" t="s">
        <v>13</v>
      </c>
      <c r="F4" s="14">
        <f>SUMIF(Table1[[#All],[ITEM]],Table3[[#This Row],[ITEM]],Table1[[#All],[QTY]])</f>
        <v>120</v>
      </c>
      <c r="G4" s="14">
        <f>SUMIF(Table2[[#All],[ITEM]],Table3[[#This Row],[ITEM]],Table2[[#All],[QTY]])</f>
        <v>6</v>
      </c>
      <c r="H4" s="16">
        <f>[P. QTY]-[S. QTY]</f>
        <v>114</v>
      </c>
      <c r="J4" s="13" t="s">
        <v>20</v>
      </c>
      <c r="K4" t="str">
        <f>"&lt;&gt;"</f>
        <v>&lt;&gt;</v>
      </c>
    </row>
    <row r="5" spans="5:11">
      <c r="E5" t="s">
        <v>21</v>
      </c>
      <c r="F5" s="14">
        <f>SUMIF(Table1[[#All],[ITEM]],Table3[[#This Row],[ITEM]],Table1[[#All],[QTY]])</f>
        <v>10</v>
      </c>
      <c r="G5" s="14">
        <f>SUMIF(Table2[[#All],[ITEM]],Table3[[#This Row],[ITEM]],Table2[[#All],[QTY]])</f>
        <v>0</v>
      </c>
      <c r="H5" s="14">
        <f>[P. QTY]-[S. QTY]</f>
        <v>10</v>
      </c>
    </row>
    <row r="6" spans="5:11">
      <c r="E6" t="s">
        <v>17</v>
      </c>
      <c r="F6" s="14">
        <f>SUMIF(Table1[[#All],[ITEM]],Table3[[#This Row],[ITEM]],Table1[[#All],[QTY]])</f>
        <v>150</v>
      </c>
      <c r="G6" s="14">
        <f>SUMIF(Table2[[#All],[ITEM]],Table3[[#This Row],[ITEM]],Table2[[#All],[QTY]])</f>
        <v>10</v>
      </c>
      <c r="H6" s="14">
        <f>[P. QTY]-[S. QTY]</f>
        <v>140</v>
      </c>
    </row>
    <row r="7" spans="5:11">
      <c r="E7" t="s">
        <v>18</v>
      </c>
      <c r="F7" s="14">
        <f>SUMIF(Table1[[#All],[ITEM]],Table3[[#This Row],[ITEM]],Table1[[#All],[QTY]])</f>
        <v>300</v>
      </c>
      <c r="G7" s="14">
        <f>SUMIF(Table2[[#All],[ITEM]],Table3[[#This Row],[ITEM]],Table2[[#All],[QTY]])</f>
        <v>200</v>
      </c>
      <c r="H7" s="14">
        <f>[P. QTY]-[S. QTY]</f>
        <v>100</v>
      </c>
    </row>
    <row r="8" spans="5:11">
      <c r="E8" t="s">
        <v>16</v>
      </c>
      <c r="F8" s="14">
        <f>SUMIF(Table1[[#All],[ITEM]],Table3[[#This Row],[ITEM]],Table1[[#All],[QTY]])</f>
        <v>60</v>
      </c>
      <c r="G8" s="14">
        <f>SUMIF(Table2[[#All],[ITEM]],Table3[[#This Row],[ITEM]],Table2[[#All],[QTY]])</f>
        <v>0</v>
      </c>
      <c r="H8" s="14">
        <f>[P. QTY]-[S. QTY]</f>
        <v>60</v>
      </c>
    </row>
    <row r="9" spans="5:11">
      <c r="E9" t="s">
        <v>14</v>
      </c>
      <c r="F9" s="14">
        <f>SUMIF(Table1[[#All],[ITEM]],Table3[[#This Row],[ITEM]],Table1[[#All],[QTY]])</f>
        <v>40</v>
      </c>
      <c r="G9" s="14">
        <f>SUMIF(Table2[[#All],[ITEM]],Table3[[#This Row],[ITEM]],Table2[[#All],[QTY]])</f>
        <v>0</v>
      </c>
      <c r="H9" s="14">
        <f>[P. QTY]-[S. QTY]</f>
        <v>40</v>
      </c>
    </row>
    <row r="10" spans="5:11">
      <c r="E10" t="s">
        <v>15</v>
      </c>
      <c r="F10" s="14">
        <f>SUMIF(Table1[[#All],[ITEM]],Table3[[#This Row],[ITEM]],Table1[[#All],[QTY]])</f>
        <v>50</v>
      </c>
      <c r="G10" s="14">
        <f>SUMIF(Table2[[#All],[ITEM]],Table3[[#This Row],[ITEM]],Table2[[#All],[QTY]])</f>
        <v>0</v>
      </c>
      <c r="H10" s="14">
        <f>[P. QTY]-[S. QTY]</f>
        <v>50</v>
      </c>
    </row>
    <row r="11" spans="5:11">
      <c r="F11" s="14">
        <f>SUMIF(Table1[[#All],[ITEM]],Table3[[#This Row],[ITEM]],Table1[[#All],[QTY]])</f>
        <v>0</v>
      </c>
      <c r="G11" s="14">
        <f>SUMIF(Table2[[#All],[ITEM]],Table3[[#This Row],[ITEM]],Table2[[#All],[QTY]])</f>
        <v>0</v>
      </c>
      <c r="H11" s="14">
        <f>[P. QTY]-[S. QTY]</f>
        <v>0</v>
      </c>
    </row>
    <row r="12" spans="5:11">
      <c r="F12" s="14">
        <f>SUMIF(Table1[[#All],[ITEM]],Table3[[#This Row],[ITEM]],Table1[[#All],[QTY]])</f>
        <v>0</v>
      </c>
      <c r="G12" s="14">
        <f>SUMIF(Table2[[#All],[ITEM]],Table3[[#This Row],[ITEM]],Table2[[#All],[QTY]])</f>
        <v>0</v>
      </c>
      <c r="H12" s="14">
        <f>[P. QTY]-[S. QTY]</f>
        <v>0</v>
      </c>
    </row>
    <row r="13" spans="5:11">
      <c r="F13" s="14">
        <f>SUMIF(Table1[[#All],[ITEM]],Table3[[#This Row],[ITEM]],Table1[[#All],[QTY]])</f>
        <v>0</v>
      </c>
      <c r="G13" s="14">
        <f>SUMIF(Table2[[#All],[ITEM]],Table3[[#This Row],[ITEM]],Table2[[#All],[QTY]])</f>
        <v>0</v>
      </c>
      <c r="H13" s="14">
        <f>[P. QTY]-[S. QTY]</f>
        <v>0</v>
      </c>
    </row>
    <row r="14" spans="5:11">
      <c r="F14" s="14">
        <f>SUMIF(Table1[[#All],[ITEM]],Table3[[#This Row],[ITEM]],Table1[[#All],[QTY]])</f>
        <v>0</v>
      </c>
      <c r="G14" s="14">
        <f>SUMIF(Table2[[#All],[ITEM]],Table3[[#This Row],[ITEM]],Table2[[#All],[QTY]])</f>
        <v>0</v>
      </c>
      <c r="H14" s="14">
        <f>[P. QTY]-[S. QTY]</f>
        <v>0</v>
      </c>
    </row>
    <row r="15" spans="5:11">
      <c r="F15" s="14">
        <f>SUMIF(Table1[[#All],[ITEM]],Table3[[#This Row],[ITEM]],Table1[[#All],[QTY]])</f>
        <v>0</v>
      </c>
      <c r="G15" s="14">
        <f>SUMIF(Table2[[#All],[ITEM]],Table3[[#This Row],[ITEM]],Table2[[#All],[QTY]])</f>
        <v>0</v>
      </c>
      <c r="H15" s="14">
        <f>[P. QTY]-[S. QTY]</f>
        <v>0</v>
      </c>
    </row>
  </sheetData>
  <mergeCells count="1">
    <mergeCell ref="E1:H2"/>
  </mergeCells>
  <hyperlinks>
    <hyperlink ref="H4" r:id="rId1" display="=@[P. QTY]-@[S. QTY]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>HP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ITIPUSA</dc:creator>
  <cp:lastModifiedBy>Sumit Maurya</cp:lastModifiedBy>
  <dcterms:created xsi:type="dcterms:W3CDTF">2025-04-03T04:42:45Z</dcterms:created>
  <dcterms:modified xsi:type="dcterms:W3CDTF">2025-05-13T05:17:07Z</dcterms:modified>
</cp:coreProperties>
</file>